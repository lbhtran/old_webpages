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lex\Dropbox\LSE\Summer Project\Excel\"/>
    </mc:Choice>
  </mc:AlternateContent>
  <bookViews>
    <workbookView xWindow="0" yWindow="0" windowWidth="20490" windowHeight="7755"/>
  </bookViews>
  <sheets>
    <sheet name="Sheet1" sheetId="1" r:id="rId1"/>
  </sheets>
  <definedNames>
    <definedName name="solver_adj" localSheetId="0" hidden="1">Sheet1!$D$17:$Q$30</definedName>
    <definedName name="solver_cvg" localSheetId="0" hidden="1">0.0001</definedName>
    <definedName name="solver_drv" localSheetId="0" hidden="1">1</definedName>
    <definedName name="solver_eng" localSheetId="0" hidden="1">2</definedName>
    <definedName name="solver_est" localSheetId="0" hidden="1">1</definedName>
    <definedName name="solver_itr" localSheetId="0" hidden="1">2147483647</definedName>
    <definedName name="solver_lhs1" localSheetId="0" hidden="1">Sheet1!$D$17:$Q$30</definedName>
    <definedName name="solver_lhs2" localSheetId="0" hidden="1">Sheet1!$C$15:$Q$15</definedName>
    <definedName name="solver_lhs3" localSheetId="0" hidden="1">Sheet1!$B$16:$B$30</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3</definedName>
    <definedName name="solver_nwt" localSheetId="0" hidden="1">1</definedName>
    <definedName name="solver_opt" localSheetId="0" hidden="1">Sheet1!$E$11</definedName>
    <definedName name="solver_pre" localSheetId="0" hidden="1">0.000001</definedName>
    <definedName name="solver_rbv" localSheetId="0" hidden="1">1</definedName>
    <definedName name="solver_rel1" localSheetId="0" hidden="1">5</definedName>
    <definedName name="solver_rel2" localSheetId="0" hidden="1">1</definedName>
    <definedName name="solver_rel3" localSheetId="0" hidden="1">1</definedName>
    <definedName name="solver_rhs1" localSheetId="0" hidden="1">binary</definedName>
    <definedName name="solver_rhs2" localSheetId="0" hidden="1">Sheet1!$C$7:$Q$7</definedName>
    <definedName name="solver_rhs3" localSheetId="0" hidden="1">Sheet1!$C$8:$Q$8</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10</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5" i="1" l="1"/>
  <c r="D15" i="1"/>
  <c r="E15" i="1"/>
  <c r="F15" i="1"/>
  <c r="G15" i="1"/>
  <c r="H15" i="1"/>
  <c r="I15" i="1"/>
  <c r="J15" i="1"/>
  <c r="K15" i="1"/>
  <c r="M15" i="1"/>
  <c r="N15" i="1"/>
  <c r="O15" i="1"/>
  <c r="P15" i="1"/>
  <c r="Q15" i="1"/>
  <c r="B16" i="1"/>
  <c r="R8" i="1" l="1"/>
  <c r="R7" i="1"/>
  <c r="Q16" i="1"/>
  <c r="P16" i="1"/>
  <c r="O16" i="1"/>
  <c r="N16" i="1"/>
  <c r="M16" i="1"/>
  <c r="L16" i="1"/>
  <c r="K16" i="1"/>
  <c r="J16" i="1"/>
  <c r="I16" i="1"/>
  <c r="H16" i="1"/>
  <c r="G16" i="1"/>
  <c r="F16" i="1"/>
  <c r="E16" i="1"/>
  <c r="D16" i="1"/>
  <c r="C17" i="1"/>
  <c r="B17" i="1" l="1"/>
  <c r="C18" i="1"/>
  <c r="B18" i="1" s="1"/>
  <c r="C19" i="1" l="1"/>
  <c r="B19" i="1" l="1"/>
  <c r="C20" i="1"/>
  <c r="C21" i="1" l="1"/>
  <c r="B20" i="1"/>
  <c r="C22" i="1"/>
  <c r="B22" i="1" s="1"/>
  <c r="B21" i="1" l="1"/>
  <c r="C23" i="1"/>
  <c r="B23" i="1" s="1"/>
  <c r="C24" i="1" l="1"/>
  <c r="B24" i="1" l="1"/>
  <c r="C25" i="1"/>
  <c r="B25" i="1" s="1"/>
  <c r="C26" i="1" l="1"/>
  <c r="B26" i="1" l="1"/>
  <c r="C27" i="1"/>
  <c r="B27" i="1" s="1"/>
  <c r="C28" i="1" l="1"/>
  <c r="B28" i="1" s="1"/>
  <c r="C29" i="1" l="1"/>
  <c r="B29" i="1" s="1"/>
  <c r="C30" i="1" l="1"/>
  <c r="B30" i="1" l="1"/>
  <c r="E11" i="1"/>
  <c r="G11" i="1" s="1"/>
  <c r="C15" i="1"/>
</calcChain>
</file>

<file path=xl/sharedStrings.xml><?xml version="1.0" encoding="utf-8"?>
<sst xmlns="http://schemas.openxmlformats.org/spreadsheetml/2006/main" count="9" uniqueCount="7">
  <si>
    <t>L1</t>
  </si>
  <si>
    <t>L2</t>
  </si>
  <si>
    <t>Enter the order of the Latin square</t>
  </si>
  <si>
    <t>Enter the frequency distributions of L1 and L2</t>
  </si>
  <si>
    <t>Element</t>
  </si>
  <si>
    <t>Frequency total</t>
  </si>
  <si>
    <t>Assignment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</si>
</sst>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2">
    <fill>
      <patternFill patternType="none"/>
    </fill>
    <fill>
      <patternFill patternType="gray125"/>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21">
    <xf numFmtId="0" fontId="0" fillId="0" borderId="0" xfId="0"/>
    <xf numFmtId="0" fontId="1"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xf numFmtId="0" fontId="0" fillId="0" borderId="12" xfId="0" applyBorder="1"/>
    <xf numFmtId="0" fontId="0" fillId="0" borderId="7" xfId="0" applyBorder="1"/>
    <xf numFmtId="0" fontId="0" fillId="0" borderId="8" xfId="0" applyBorder="1"/>
    <xf numFmtId="0" fontId="0" fillId="0" borderId="9" xfId="0" applyBorder="1"/>
    <xf numFmtId="0" fontId="0" fillId="0" borderId="1" xfId="0" applyBorder="1"/>
    <xf numFmtId="0" fontId="1" fillId="0" borderId="0" xfId="0" applyFont="1" applyAlignment="1">
      <alignment horizontal="center"/>
    </xf>
    <xf numFmtId="0" fontId="1" fillId="0" borderId="0" xfId="0" applyFont="1" applyAlignment="1"/>
  </cellXfs>
  <cellStyles count="1">
    <cellStyle name="Normal" xfId="0" builtinId="0"/>
  </cellStyles>
  <dxfs count="6">
    <dxf>
      <font>
        <color rgb="FFFF0000"/>
      </font>
    </dxf>
    <dxf>
      <font>
        <color rgb="FFFF0000"/>
      </font>
    </dxf>
    <dxf>
      <fill>
        <patternFill>
          <bgColor theme="5" tint="0.59996337778862885"/>
        </patternFill>
      </fill>
      <border>
        <left/>
        <right/>
        <top/>
        <bottom/>
        <vertical/>
        <horizontal/>
      </border>
    </dxf>
    <dxf>
      <font>
        <b/>
        <i val="0"/>
      </font>
      <fill>
        <patternFill>
          <bgColor theme="4" tint="0.59996337778862885"/>
        </patternFill>
      </fill>
    </dxf>
    <dxf>
      <font>
        <b/>
        <i val="0"/>
      </font>
      <fill>
        <patternFill patternType="solid">
          <fgColor auto="1"/>
          <bgColor theme="4" tint="0.59996337778862885"/>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304800</xdr:colOff>
          <xdr:row>9</xdr:row>
          <xdr:rowOff>180975</xdr:rowOff>
        </xdr:from>
        <xdr:to>
          <xdr:col>14</xdr:col>
          <xdr:colOff>19050</xdr:colOff>
          <xdr:row>12</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Solve</a:t>
              </a:r>
            </a:p>
          </xdr:txBody>
        </xdr:sp>
        <xdr:clientData fPrintsWithSheet="0"/>
      </xdr:twoCellAnchor>
    </mc:Choice>
    <mc:Fallback/>
  </mc:AlternateContent>
  <xdr:twoCellAnchor>
    <xdr:from>
      <xdr:col>8</xdr:col>
      <xdr:colOff>371475</xdr:colOff>
      <xdr:row>0</xdr:row>
      <xdr:rowOff>133350</xdr:rowOff>
    </xdr:from>
    <xdr:to>
      <xdr:col>21</xdr:col>
      <xdr:colOff>314325</xdr:colOff>
      <xdr:row>4</xdr:row>
      <xdr:rowOff>28575</xdr:rowOff>
    </xdr:to>
    <xdr:sp macro="" textlink="">
      <xdr:nvSpPr>
        <xdr:cNvPr id="2" name="TextBox 1"/>
        <xdr:cNvSpPr txBox="1"/>
      </xdr:nvSpPr>
      <xdr:spPr>
        <a:xfrm>
          <a:off x="3648075" y="133350"/>
          <a:ext cx="48958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You start by inputing</a:t>
          </a:r>
          <a:r>
            <a:rPr lang="en-GB" sz="1100" baseline="0"/>
            <a:t> the order of the Latin squares in consideration and the frequency distributions of L1 and L2. "Error" will appear if the sum of the frequency is not corresponding to the order of the Latin squares. </a:t>
          </a:r>
          <a:endParaRPr lang="en-GB" sz="1100"/>
        </a:p>
      </xdr:txBody>
    </xdr:sp>
    <xdr:clientData/>
  </xdr:twoCellAnchor>
  <xdr:twoCellAnchor>
    <xdr:from>
      <xdr:col>14</xdr:col>
      <xdr:colOff>285750</xdr:colOff>
      <xdr:row>8</xdr:row>
      <xdr:rowOff>95249</xdr:rowOff>
    </xdr:from>
    <xdr:to>
      <xdr:col>23</xdr:col>
      <xdr:colOff>161925</xdr:colOff>
      <xdr:row>12</xdr:row>
      <xdr:rowOff>66674</xdr:rowOff>
    </xdr:to>
    <xdr:sp macro="" textlink="">
      <xdr:nvSpPr>
        <xdr:cNvPr id="3" name="TextBox 2"/>
        <xdr:cNvSpPr txBox="1"/>
      </xdr:nvSpPr>
      <xdr:spPr>
        <a:xfrm>
          <a:off x="5848350" y="1638299"/>
          <a:ext cx="3533775"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Click "Solve"</a:t>
          </a:r>
          <a:r>
            <a:rPr lang="en-GB" sz="1100" baseline="0"/>
            <a:t> to start solving the IP model. If the solution is not found after 10 seconds, the process should stop and display "Infeasible". Otherwise, if it runs for too long, you can press ESC and stop the process.</a:t>
          </a:r>
          <a:endParaRPr lang="en-GB" sz="1100"/>
        </a:p>
      </xdr:txBody>
    </xdr:sp>
    <xdr:clientData/>
  </xdr:twoCellAnchor>
  <xdr:twoCellAnchor>
    <xdr:from>
      <xdr:col>17</xdr:col>
      <xdr:colOff>333375</xdr:colOff>
      <xdr:row>13</xdr:row>
      <xdr:rowOff>85725</xdr:rowOff>
    </xdr:from>
    <xdr:to>
      <xdr:col>22</xdr:col>
      <xdr:colOff>314325</xdr:colOff>
      <xdr:row>17</xdr:row>
      <xdr:rowOff>133351</xdr:rowOff>
    </xdr:to>
    <xdr:sp macro="" textlink="">
      <xdr:nvSpPr>
        <xdr:cNvPr id="4" name="TextBox 3"/>
        <xdr:cNvSpPr txBox="1"/>
      </xdr:nvSpPr>
      <xdr:spPr>
        <a:xfrm>
          <a:off x="7038975" y="2609850"/>
          <a:ext cx="1885950" cy="809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a:t>
          </a:r>
          <a:r>
            <a:rPr lang="en-GB" sz="1100" baseline="0"/>
            <a:t> formatted the area inside the thick border box to hide all the 0's  </a:t>
          </a:r>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R30"/>
  <sheetViews>
    <sheetView tabSelected="1" workbookViewId="0">
      <selection activeCell="V26" sqref="V26"/>
    </sheetView>
  </sheetViews>
  <sheetFormatPr defaultRowHeight="15" x14ac:dyDescent="0.25"/>
  <cols>
    <col min="2" max="22" width="5.7109375" customWidth="1"/>
  </cols>
  <sheetData>
    <row r="1" spans="2:18" ht="15.75" thickBot="1" x14ac:dyDescent="0.3"/>
    <row r="2" spans="2:18" ht="15.75" thickBot="1" x14ac:dyDescent="0.3">
      <c r="B2" s="20" t="s">
        <v>2</v>
      </c>
      <c r="C2" s="20"/>
      <c r="D2" s="20"/>
      <c r="E2" s="20"/>
      <c r="F2" s="20"/>
      <c r="G2" s="20"/>
      <c r="H2" s="18">
        <v>10</v>
      </c>
    </row>
    <row r="5" spans="2:18" x14ac:dyDescent="0.25">
      <c r="B5" s="1" t="s">
        <v>3</v>
      </c>
    </row>
    <row r="6" spans="2:18" ht="15.75" thickBot="1" x14ac:dyDescent="0.3">
      <c r="B6" t="s">
        <v>4</v>
      </c>
      <c r="C6" s="19">
        <v>1</v>
      </c>
      <c r="D6" s="19">
        <v>2</v>
      </c>
      <c r="E6" s="19">
        <v>3</v>
      </c>
      <c r="F6" s="19">
        <v>4</v>
      </c>
      <c r="G6" s="19">
        <v>5</v>
      </c>
      <c r="H6" s="19">
        <v>6</v>
      </c>
      <c r="I6" s="19">
        <v>7</v>
      </c>
      <c r="J6" s="19">
        <v>8</v>
      </c>
      <c r="K6" s="19">
        <v>9</v>
      </c>
      <c r="L6" s="19">
        <v>10</v>
      </c>
      <c r="M6" s="19">
        <v>11</v>
      </c>
      <c r="N6" s="19">
        <v>12</v>
      </c>
      <c r="O6" s="19">
        <v>13</v>
      </c>
      <c r="P6" s="19">
        <v>14</v>
      </c>
      <c r="Q6" s="19">
        <v>15</v>
      </c>
    </row>
    <row r="7" spans="2:18" x14ac:dyDescent="0.25">
      <c r="B7" t="s">
        <v>0</v>
      </c>
      <c r="C7" s="12">
        <v>8</v>
      </c>
      <c r="D7" s="13">
        <v>8</v>
      </c>
      <c r="E7" s="13">
        <v>8</v>
      </c>
      <c r="F7" s="13">
        <v>6</v>
      </c>
      <c r="G7" s="13">
        <v>6</v>
      </c>
      <c r="H7" s="13">
        <v>4</v>
      </c>
      <c r="I7" s="13">
        <v>4</v>
      </c>
      <c r="J7" s="13">
        <v>4</v>
      </c>
      <c r="K7" s="13">
        <v>2</v>
      </c>
      <c r="L7" s="13">
        <v>0</v>
      </c>
      <c r="M7" s="13">
        <v>0</v>
      </c>
      <c r="N7" s="13">
        <v>0</v>
      </c>
      <c r="O7" s="13">
        <v>0</v>
      </c>
      <c r="P7" s="13">
        <v>0</v>
      </c>
      <c r="Q7" s="14">
        <v>0</v>
      </c>
      <c r="R7" t="str">
        <f>IF(SUM($C7:$Q7)=($H$2*$H$2)/2," ","Error")</f>
        <v xml:space="preserve"> </v>
      </c>
    </row>
    <row r="8" spans="2:18" ht="15.75" thickBot="1" x14ac:dyDescent="0.3">
      <c r="B8" t="s">
        <v>1</v>
      </c>
      <c r="C8" s="15">
        <v>6</v>
      </c>
      <c r="D8" s="16">
        <v>6</v>
      </c>
      <c r="E8" s="16">
        <v>6</v>
      </c>
      <c r="F8" s="16">
        <v>6</v>
      </c>
      <c r="G8" s="16">
        <v>6</v>
      </c>
      <c r="H8" s="16">
        <v>4</v>
      </c>
      <c r="I8" s="16">
        <v>4</v>
      </c>
      <c r="J8" s="16">
        <v>4</v>
      </c>
      <c r="K8" s="16">
        <v>4</v>
      </c>
      <c r="L8" s="16">
        <v>4</v>
      </c>
      <c r="M8" s="16">
        <v>0</v>
      </c>
      <c r="N8" s="16">
        <v>0</v>
      </c>
      <c r="O8" s="16">
        <v>0</v>
      </c>
      <c r="P8" s="16">
        <v>0</v>
      </c>
      <c r="Q8" s="17">
        <v>0</v>
      </c>
      <c r="R8" t="str">
        <f t="shared" ref="R8" si="0">IF(SUM($C8:$Q8)=($H$2*$H$2)/2," ","Error")</f>
        <v xml:space="preserve"> </v>
      </c>
    </row>
    <row r="11" spans="2:18" x14ac:dyDescent="0.25">
      <c r="B11" s="1" t="s">
        <v>5</v>
      </c>
      <c r="E11">
        <f>SUM(C16:Q30)</f>
        <v>50</v>
      </c>
      <c r="G11" t="str">
        <f>IF(E11=(H2*H2)/2," ","Infeasible")</f>
        <v xml:space="preserve"> </v>
      </c>
    </row>
    <row r="13" spans="2:18" ht="15.75" thickBot="1" x14ac:dyDescent="0.3">
      <c r="B13" s="1" t="s">
        <v>6</v>
      </c>
    </row>
    <row r="14" spans="2:18" x14ac:dyDescent="0.25">
      <c r="B14" s="2"/>
      <c r="C14" s="3" t="s">
        <v>0</v>
      </c>
      <c r="D14" s="3"/>
      <c r="E14" s="3"/>
      <c r="F14" s="3"/>
      <c r="G14" s="3"/>
      <c r="H14" s="3"/>
      <c r="I14" s="3"/>
      <c r="J14" s="3"/>
      <c r="K14" s="3"/>
      <c r="L14" s="3"/>
      <c r="M14" s="3"/>
      <c r="N14" s="3"/>
      <c r="O14" s="3"/>
      <c r="P14" s="3"/>
      <c r="Q14" s="4"/>
    </row>
    <row r="15" spans="2:18" x14ac:dyDescent="0.25">
      <c r="B15" s="5" t="s">
        <v>1</v>
      </c>
      <c r="C15" s="6">
        <f>SUM(C16:C30)</f>
        <v>8</v>
      </c>
      <c r="D15" s="6">
        <f t="shared" ref="D15:Q15" si="1">SUM(D16:D30)</f>
        <v>8</v>
      </c>
      <c r="E15" s="6">
        <f t="shared" si="1"/>
        <v>8</v>
      </c>
      <c r="F15" s="6">
        <f t="shared" si="1"/>
        <v>6</v>
      </c>
      <c r="G15" s="6">
        <f t="shared" si="1"/>
        <v>6</v>
      </c>
      <c r="H15" s="6">
        <f t="shared" si="1"/>
        <v>4</v>
      </c>
      <c r="I15" s="6">
        <f t="shared" si="1"/>
        <v>4</v>
      </c>
      <c r="J15" s="6">
        <f t="shared" si="1"/>
        <v>4</v>
      </c>
      <c r="K15" s="6">
        <f t="shared" si="1"/>
        <v>2</v>
      </c>
      <c r="L15" s="6">
        <f>SUM(L16:L30)</f>
        <v>0</v>
      </c>
      <c r="M15" s="6">
        <f t="shared" si="1"/>
        <v>0</v>
      </c>
      <c r="N15" s="6">
        <f t="shared" si="1"/>
        <v>0</v>
      </c>
      <c r="O15" s="6">
        <f t="shared" si="1"/>
        <v>0</v>
      </c>
      <c r="P15" s="6">
        <f t="shared" si="1"/>
        <v>0</v>
      </c>
      <c r="Q15" s="7">
        <f t="shared" si="1"/>
        <v>0</v>
      </c>
    </row>
    <row r="16" spans="2:18" x14ac:dyDescent="0.25">
      <c r="B16" s="8">
        <f>SUM(C16:Q16)</f>
        <v>6</v>
      </c>
      <c r="C16" s="6">
        <v>1</v>
      </c>
      <c r="D16" s="6">
        <f>IF(SUM($C$16)&lt;$C$8,1,0)</f>
        <v>1</v>
      </c>
      <c r="E16" s="6">
        <f>IF(SUM($C$16:$D$16)&lt;$C$8,1,0)</f>
        <v>1</v>
      </c>
      <c r="F16" s="6">
        <f>IF(SUM($C$16:$E$16)&lt;$C$8,1,0)</f>
        <v>1</v>
      </c>
      <c r="G16" s="6">
        <f>IF(SUM($C$16:$F$16)&lt;$C$8,1,0)</f>
        <v>1</v>
      </c>
      <c r="H16" s="6">
        <f>IF(SUM($C$16:$G$16)&lt;$C$8,1,0)</f>
        <v>1</v>
      </c>
      <c r="I16" s="6">
        <f>IF(SUM($C$16:$H$16)&lt;$C$8,1,0)</f>
        <v>0</v>
      </c>
      <c r="J16" s="6">
        <f>IF(SUM($C$16:$I$16)&lt;$C$8,1,0)</f>
        <v>0</v>
      </c>
      <c r="K16" s="6">
        <f>IF(SUM($C$16:$J$16)&lt;$C$8,1,0)</f>
        <v>0</v>
      </c>
      <c r="L16" s="6">
        <f>IF(SUM($C$16:$K$16)&lt;$C$8,1,0)</f>
        <v>0</v>
      </c>
      <c r="M16" s="6">
        <f>IF(SUM($C$16:$L$16)&lt;$C$8,1,0)</f>
        <v>0</v>
      </c>
      <c r="N16" s="6">
        <f>IF(SUM($C$16:$M$16)&lt;$C$8,1,0)</f>
        <v>0</v>
      </c>
      <c r="O16" s="6">
        <f>IF(SUM($C$16:$N$16)&lt;$C$8,1,0)</f>
        <v>0</v>
      </c>
      <c r="P16" s="6">
        <f>IF(SUM($C$16:$O$16)&lt;$C$8,1,0)</f>
        <v>0</v>
      </c>
      <c r="Q16" s="7">
        <f>IF(SUM($C$16:$P$16)&lt;$C$8,1,0)</f>
        <v>0</v>
      </c>
    </row>
    <row r="17" spans="2:17" x14ac:dyDescent="0.25">
      <c r="B17" s="8">
        <f t="shared" ref="B17:B30" si="2">SUM(C17:Q17)</f>
        <v>6</v>
      </c>
      <c r="C17" s="6">
        <f>IF(SUM($C$16)&lt;$C$7,1,0)</f>
        <v>1</v>
      </c>
      <c r="D17" s="6">
        <v>0</v>
      </c>
      <c r="E17" s="6">
        <v>1</v>
      </c>
      <c r="F17" s="6">
        <v>1</v>
      </c>
      <c r="G17" s="6">
        <v>1</v>
      </c>
      <c r="H17" s="6">
        <v>0</v>
      </c>
      <c r="I17" s="6">
        <v>1</v>
      </c>
      <c r="J17" s="6">
        <v>1</v>
      </c>
      <c r="K17" s="6">
        <v>0</v>
      </c>
      <c r="L17" s="6">
        <v>0</v>
      </c>
      <c r="M17" s="6">
        <v>0</v>
      </c>
      <c r="N17" s="6">
        <v>0</v>
      </c>
      <c r="O17" s="6">
        <v>0</v>
      </c>
      <c r="P17" s="6">
        <v>0</v>
      </c>
      <c r="Q17" s="7">
        <v>0</v>
      </c>
    </row>
    <row r="18" spans="2:17" x14ac:dyDescent="0.25">
      <c r="B18" s="8">
        <f t="shared" si="2"/>
        <v>6</v>
      </c>
      <c r="C18" s="6">
        <f>IF(SUM($C$16:$C$17)&lt;$C$7,1,0)</f>
        <v>1</v>
      </c>
      <c r="D18" s="6">
        <v>1</v>
      </c>
      <c r="E18" s="6">
        <v>1</v>
      </c>
      <c r="F18" s="6">
        <v>1</v>
      </c>
      <c r="G18" s="6">
        <v>1</v>
      </c>
      <c r="H18" s="6">
        <v>0</v>
      </c>
      <c r="I18" s="6">
        <v>1</v>
      </c>
      <c r="J18" s="6">
        <v>0</v>
      </c>
      <c r="K18" s="6">
        <v>0</v>
      </c>
      <c r="L18" s="6">
        <v>0</v>
      </c>
      <c r="M18" s="6">
        <v>0</v>
      </c>
      <c r="N18" s="6">
        <v>0</v>
      </c>
      <c r="O18" s="6">
        <v>0</v>
      </c>
      <c r="P18" s="6">
        <v>0</v>
      </c>
      <c r="Q18" s="7">
        <v>0</v>
      </c>
    </row>
    <row r="19" spans="2:17" x14ac:dyDescent="0.25">
      <c r="B19" s="8">
        <f t="shared" si="2"/>
        <v>6</v>
      </c>
      <c r="C19" s="6">
        <f>IF(SUM($C$16:$C$18)&lt;$C$7,1,0)</f>
        <v>1</v>
      </c>
      <c r="D19" s="6">
        <v>1</v>
      </c>
      <c r="E19" s="6">
        <v>1</v>
      </c>
      <c r="F19" s="6">
        <v>1</v>
      </c>
      <c r="G19" s="6">
        <v>1</v>
      </c>
      <c r="H19" s="6">
        <v>1</v>
      </c>
      <c r="I19" s="6">
        <v>0</v>
      </c>
      <c r="J19" s="6">
        <v>0</v>
      </c>
      <c r="K19" s="6">
        <v>0</v>
      </c>
      <c r="L19" s="6">
        <v>0</v>
      </c>
      <c r="M19" s="6">
        <v>0</v>
      </c>
      <c r="N19" s="6">
        <v>0</v>
      </c>
      <c r="O19" s="6">
        <v>0</v>
      </c>
      <c r="P19" s="6">
        <v>0</v>
      </c>
      <c r="Q19" s="7">
        <v>0</v>
      </c>
    </row>
    <row r="20" spans="2:17" x14ac:dyDescent="0.25">
      <c r="B20" s="8">
        <f t="shared" si="2"/>
        <v>6</v>
      </c>
      <c r="C20" s="6">
        <f>IF(SUM($C$16:$C$19)&lt;$C$7,1,0)</f>
        <v>1</v>
      </c>
      <c r="D20" s="6">
        <v>1</v>
      </c>
      <c r="E20" s="6">
        <v>1</v>
      </c>
      <c r="F20" s="6">
        <v>1</v>
      </c>
      <c r="G20" s="6">
        <v>1</v>
      </c>
      <c r="H20" s="6">
        <v>1</v>
      </c>
      <c r="I20" s="6">
        <v>0</v>
      </c>
      <c r="J20" s="6">
        <v>0</v>
      </c>
      <c r="K20" s="6">
        <v>0</v>
      </c>
      <c r="L20" s="6">
        <v>0</v>
      </c>
      <c r="M20" s="6">
        <v>0</v>
      </c>
      <c r="N20" s="6">
        <v>0</v>
      </c>
      <c r="O20" s="6">
        <v>0</v>
      </c>
      <c r="P20" s="6">
        <v>0</v>
      </c>
      <c r="Q20" s="7">
        <v>0</v>
      </c>
    </row>
    <row r="21" spans="2:17" x14ac:dyDescent="0.25">
      <c r="B21" s="8">
        <f t="shared" si="2"/>
        <v>4</v>
      </c>
      <c r="C21" s="6">
        <f>IF(SUM($C$16:$C$20)&lt;$C$7,1,0)</f>
        <v>1</v>
      </c>
      <c r="D21" s="6">
        <v>1</v>
      </c>
      <c r="E21" s="6">
        <v>1</v>
      </c>
      <c r="F21" s="6">
        <v>0</v>
      </c>
      <c r="G21" s="6">
        <v>1</v>
      </c>
      <c r="H21" s="6">
        <v>0</v>
      </c>
      <c r="I21" s="6">
        <v>0</v>
      </c>
      <c r="J21" s="6">
        <v>0</v>
      </c>
      <c r="K21" s="6">
        <v>0</v>
      </c>
      <c r="L21" s="6">
        <v>0</v>
      </c>
      <c r="M21" s="6">
        <v>0</v>
      </c>
      <c r="N21" s="6">
        <v>0</v>
      </c>
      <c r="O21" s="6">
        <v>0</v>
      </c>
      <c r="P21" s="6">
        <v>0</v>
      </c>
      <c r="Q21" s="7">
        <v>0</v>
      </c>
    </row>
    <row r="22" spans="2:17" x14ac:dyDescent="0.25">
      <c r="B22" s="8">
        <f t="shared" si="2"/>
        <v>4</v>
      </c>
      <c r="C22" s="6">
        <f>IF(SUM($C$16:$C$21)&lt;$C$7,1,0)</f>
        <v>1</v>
      </c>
      <c r="D22" s="6">
        <v>1</v>
      </c>
      <c r="E22" s="6">
        <v>1</v>
      </c>
      <c r="F22" s="6">
        <v>1</v>
      </c>
      <c r="G22" s="6">
        <v>0</v>
      </c>
      <c r="H22" s="6">
        <v>0</v>
      </c>
      <c r="I22" s="6">
        <v>0</v>
      </c>
      <c r="J22" s="6">
        <v>0</v>
      </c>
      <c r="K22" s="6">
        <v>0</v>
      </c>
      <c r="L22" s="6">
        <v>0</v>
      </c>
      <c r="M22" s="6">
        <v>0</v>
      </c>
      <c r="N22" s="6">
        <v>0</v>
      </c>
      <c r="O22" s="6">
        <v>0</v>
      </c>
      <c r="P22" s="6">
        <v>0</v>
      </c>
      <c r="Q22" s="7">
        <v>0</v>
      </c>
    </row>
    <row r="23" spans="2:17" x14ac:dyDescent="0.25">
      <c r="B23" s="8">
        <f t="shared" si="2"/>
        <v>4</v>
      </c>
      <c r="C23" s="6">
        <f>IF(SUM($C$16:$C$22)&lt;$C$7,1,0)</f>
        <v>1</v>
      </c>
      <c r="D23" s="6">
        <v>0</v>
      </c>
      <c r="E23" s="6">
        <v>0</v>
      </c>
      <c r="F23" s="6">
        <v>0</v>
      </c>
      <c r="G23" s="6">
        <v>0</v>
      </c>
      <c r="H23" s="6">
        <v>1</v>
      </c>
      <c r="I23" s="6">
        <v>1</v>
      </c>
      <c r="J23" s="6">
        <v>1</v>
      </c>
      <c r="K23" s="6">
        <v>0</v>
      </c>
      <c r="L23" s="6">
        <v>0</v>
      </c>
      <c r="M23" s="6">
        <v>0</v>
      </c>
      <c r="N23" s="6">
        <v>0</v>
      </c>
      <c r="O23" s="6">
        <v>0</v>
      </c>
      <c r="P23" s="6">
        <v>0</v>
      </c>
      <c r="Q23" s="7">
        <v>0</v>
      </c>
    </row>
    <row r="24" spans="2:17" x14ac:dyDescent="0.25">
      <c r="B24" s="8">
        <f t="shared" si="2"/>
        <v>4</v>
      </c>
      <c r="C24" s="6">
        <f>IF(SUM($C$16:$C$23)&lt;$C$7,1,0)</f>
        <v>0</v>
      </c>
      <c r="D24" s="6">
        <v>1</v>
      </c>
      <c r="E24" s="6">
        <v>1</v>
      </c>
      <c r="F24" s="6">
        <v>0</v>
      </c>
      <c r="G24" s="6">
        <v>0</v>
      </c>
      <c r="H24" s="6">
        <v>0</v>
      </c>
      <c r="I24" s="6">
        <v>0</v>
      </c>
      <c r="J24" s="6">
        <v>1</v>
      </c>
      <c r="K24" s="6">
        <v>1</v>
      </c>
      <c r="L24" s="6">
        <v>0</v>
      </c>
      <c r="M24" s="6">
        <v>0</v>
      </c>
      <c r="N24" s="6">
        <v>0</v>
      </c>
      <c r="O24" s="6">
        <v>0</v>
      </c>
      <c r="P24" s="6">
        <v>0</v>
      </c>
      <c r="Q24" s="7">
        <v>0</v>
      </c>
    </row>
    <row r="25" spans="2:17" x14ac:dyDescent="0.25">
      <c r="B25" s="8">
        <f t="shared" si="2"/>
        <v>4</v>
      </c>
      <c r="C25" s="6">
        <f>IF(SUM($C$16:$C$24)&lt;$C$7,1,0)</f>
        <v>0</v>
      </c>
      <c r="D25" s="6">
        <v>1</v>
      </c>
      <c r="E25" s="6">
        <v>0</v>
      </c>
      <c r="F25" s="6">
        <v>0</v>
      </c>
      <c r="G25" s="6">
        <v>0</v>
      </c>
      <c r="H25" s="6">
        <v>0</v>
      </c>
      <c r="I25" s="6">
        <v>1</v>
      </c>
      <c r="J25" s="6">
        <v>1</v>
      </c>
      <c r="K25" s="6">
        <v>1</v>
      </c>
      <c r="L25" s="6">
        <v>0</v>
      </c>
      <c r="M25" s="6">
        <v>0</v>
      </c>
      <c r="N25" s="6">
        <v>0</v>
      </c>
      <c r="O25" s="6">
        <v>0</v>
      </c>
      <c r="P25" s="6">
        <v>0</v>
      </c>
      <c r="Q25" s="7">
        <v>0</v>
      </c>
    </row>
    <row r="26" spans="2:17" x14ac:dyDescent="0.25">
      <c r="B26" s="8">
        <f t="shared" si="2"/>
        <v>0</v>
      </c>
      <c r="C26" s="6">
        <f>IF(SUM($C$16:$C$25)&lt;$C$7,1,0)</f>
        <v>0</v>
      </c>
      <c r="D26" s="6">
        <v>0</v>
      </c>
      <c r="E26" s="6">
        <v>0</v>
      </c>
      <c r="F26" s="6">
        <v>0</v>
      </c>
      <c r="G26" s="6">
        <v>0</v>
      </c>
      <c r="H26" s="6">
        <v>0</v>
      </c>
      <c r="I26" s="6">
        <v>0</v>
      </c>
      <c r="J26" s="6">
        <v>0</v>
      </c>
      <c r="K26" s="6">
        <v>0</v>
      </c>
      <c r="L26" s="6">
        <v>0</v>
      </c>
      <c r="M26" s="6">
        <v>0</v>
      </c>
      <c r="N26" s="6">
        <v>0</v>
      </c>
      <c r="O26" s="6">
        <v>0</v>
      </c>
      <c r="P26" s="6">
        <v>0</v>
      </c>
      <c r="Q26" s="7">
        <v>0</v>
      </c>
    </row>
    <row r="27" spans="2:17" x14ac:dyDescent="0.25">
      <c r="B27" s="8">
        <f t="shared" si="2"/>
        <v>0</v>
      </c>
      <c r="C27" s="6">
        <f>IF(SUM($C$16:$C$26)&lt;$C$7,1,0)</f>
        <v>0</v>
      </c>
      <c r="D27" s="6">
        <v>0</v>
      </c>
      <c r="E27" s="6">
        <v>0</v>
      </c>
      <c r="F27" s="6">
        <v>0</v>
      </c>
      <c r="G27" s="6">
        <v>0</v>
      </c>
      <c r="H27" s="6">
        <v>0</v>
      </c>
      <c r="I27" s="6">
        <v>0</v>
      </c>
      <c r="J27" s="6">
        <v>0</v>
      </c>
      <c r="K27" s="6">
        <v>0</v>
      </c>
      <c r="L27" s="6">
        <v>0</v>
      </c>
      <c r="M27" s="6">
        <v>0</v>
      </c>
      <c r="N27" s="6">
        <v>0</v>
      </c>
      <c r="O27" s="6">
        <v>0</v>
      </c>
      <c r="P27" s="6">
        <v>0</v>
      </c>
      <c r="Q27" s="7">
        <v>0</v>
      </c>
    </row>
    <row r="28" spans="2:17" x14ac:dyDescent="0.25">
      <c r="B28" s="8">
        <f t="shared" si="2"/>
        <v>0</v>
      </c>
      <c r="C28" s="6">
        <f>IF(SUM($C$16:$C$27)&lt;$C$7,1,0)</f>
        <v>0</v>
      </c>
      <c r="D28" s="6">
        <v>0</v>
      </c>
      <c r="E28" s="6">
        <v>0</v>
      </c>
      <c r="F28" s="6">
        <v>0</v>
      </c>
      <c r="G28" s="6">
        <v>0</v>
      </c>
      <c r="H28" s="6">
        <v>0</v>
      </c>
      <c r="I28" s="6">
        <v>0</v>
      </c>
      <c r="J28" s="6">
        <v>0</v>
      </c>
      <c r="K28" s="6">
        <v>0</v>
      </c>
      <c r="L28" s="6">
        <v>0</v>
      </c>
      <c r="M28" s="6">
        <v>0</v>
      </c>
      <c r="N28" s="6">
        <v>0</v>
      </c>
      <c r="O28" s="6">
        <v>0</v>
      </c>
      <c r="P28" s="6">
        <v>0</v>
      </c>
      <c r="Q28" s="7">
        <v>0</v>
      </c>
    </row>
    <row r="29" spans="2:17" x14ac:dyDescent="0.25">
      <c r="B29" s="8">
        <f t="shared" si="2"/>
        <v>0</v>
      </c>
      <c r="C29" s="6">
        <f>IF(SUM($C$16:$C$28)&lt;$C$7,1,0)</f>
        <v>0</v>
      </c>
      <c r="D29" s="6">
        <v>0</v>
      </c>
      <c r="E29" s="6">
        <v>0</v>
      </c>
      <c r="F29" s="6">
        <v>0</v>
      </c>
      <c r="G29" s="6">
        <v>0</v>
      </c>
      <c r="H29" s="6">
        <v>0</v>
      </c>
      <c r="I29" s="6">
        <v>0</v>
      </c>
      <c r="J29" s="6">
        <v>0</v>
      </c>
      <c r="K29" s="6">
        <v>0</v>
      </c>
      <c r="L29" s="6">
        <v>0</v>
      </c>
      <c r="M29" s="6">
        <v>0</v>
      </c>
      <c r="N29" s="6">
        <v>0</v>
      </c>
      <c r="O29" s="6">
        <v>0</v>
      </c>
      <c r="P29" s="6">
        <v>0</v>
      </c>
      <c r="Q29" s="7">
        <v>0</v>
      </c>
    </row>
    <row r="30" spans="2:17" ht="15.75" thickBot="1" x14ac:dyDescent="0.3">
      <c r="B30" s="9">
        <f t="shared" si="2"/>
        <v>0</v>
      </c>
      <c r="C30" s="10">
        <f>IF(SUM($C$16:$C$29)&lt;$C$7,1,0)</f>
        <v>0</v>
      </c>
      <c r="D30" s="10">
        <v>0</v>
      </c>
      <c r="E30" s="10">
        <v>0</v>
      </c>
      <c r="F30" s="10">
        <v>0</v>
      </c>
      <c r="G30" s="10">
        <v>0</v>
      </c>
      <c r="H30" s="10">
        <v>0</v>
      </c>
      <c r="I30" s="10">
        <v>0</v>
      </c>
      <c r="J30" s="10">
        <v>0</v>
      </c>
      <c r="K30" s="10">
        <v>0</v>
      </c>
      <c r="L30" s="10">
        <v>0</v>
      </c>
      <c r="M30" s="10">
        <v>0</v>
      </c>
      <c r="N30" s="10">
        <v>0</v>
      </c>
      <c r="O30" s="10">
        <v>0</v>
      </c>
      <c r="P30" s="10">
        <v>0</v>
      </c>
      <c r="Q30" s="11">
        <v>0</v>
      </c>
    </row>
  </sheetData>
  <mergeCells count="1">
    <mergeCell ref="B2:G2"/>
  </mergeCells>
  <conditionalFormatting sqref="B15:Q30">
    <cfRule type="cellIs" dxfId="5" priority="6" operator="equal">
      <formula>0</formula>
    </cfRule>
  </conditionalFormatting>
  <conditionalFormatting sqref="C15:Q15">
    <cfRule type="cellIs" dxfId="4" priority="5" operator="notEqual">
      <formula>0</formula>
    </cfRule>
  </conditionalFormatting>
  <conditionalFormatting sqref="B16:B30">
    <cfRule type="cellIs" dxfId="3" priority="4" operator="notEqual">
      <formula>0</formula>
    </cfRule>
  </conditionalFormatting>
  <conditionalFormatting sqref="C16:Q30">
    <cfRule type="cellIs" dxfId="2" priority="3" operator="equal">
      <formula>1</formula>
    </cfRule>
  </conditionalFormatting>
  <conditionalFormatting sqref="R7:R8">
    <cfRule type="containsText" dxfId="1" priority="2" operator="containsText" text="Error">
      <formula>NOT(ISERROR(SEARCH("Error",R7)))</formula>
    </cfRule>
  </conditionalFormatting>
  <conditionalFormatting sqref="G11">
    <cfRule type="containsText" dxfId="0" priority="1" operator="containsText" text="Infeasible">
      <formula>NOT(ISERROR(SEARCH("Infeasible",G11)))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olver1">
                <anchor moveWithCells="1" sizeWithCells="1">
                  <from>
                    <xdr:col>10</xdr:col>
                    <xdr:colOff>304800</xdr:colOff>
                    <xdr:row>9</xdr:row>
                    <xdr:rowOff>180975</xdr:rowOff>
                  </from>
                  <to>
                    <xdr:col>14</xdr:col>
                    <xdr:colOff>19050</xdr:colOff>
                    <xdr:row>12</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Tran</dc:creator>
  <cp:lastModifiedBy>Alex</cp:lastModifiedBy>
  <dcterms:created xsi:type="dcterms:W3CDTF">2015-06-24T20:44:47Z</dcterms:created>
  <dcterms:modified xsi:type="dcterms:W3CDTF">2015-06-25T09:34:39Z</dcterms:modified>
</cp:coreProperties>
</file>